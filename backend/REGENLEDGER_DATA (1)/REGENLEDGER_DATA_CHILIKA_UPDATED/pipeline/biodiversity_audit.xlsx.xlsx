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REGENLEDGER_DATA\metadata\"/>
    </mc:Choice>
  </mc:AlternateContent>
  <xr:revisionPtr revIDLastSave="0" documentId="13_ncr:1_{E86FA9EE-FD20-4C66-A1AA-D6DF58C4DF00}" xr6:coauthVersionLast="47" xr6:coauthVersionMax="47" xr10:uidLastSave="{00000000-0000-0000-0000-000000000000}"/>
  <bookViews>
    <workbookView xWindow="38280" yWindow="-120" windowWidth="29040" windowHeight="16440" xr2:uid="{00000000-000D-0000-FFFF-FFFF00000000}"/>
  </bookViews>
  <sheets>
    <sheet name="Audit" sheetId="2" r:id="rId1"/>
    <sheet name="Source_Regist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5" i="2" l="1"/>
  <c r="S20" i="2"/>
  <c r="S19" i="2"/>
  <c r="S17" i="2"/>
  <c r="S24" i="2"/>
  <c r="S23" i="2"/>
  <c r="S22" i="2"/>
  <c r="S21" i="2"/>
  <c r="S18" i="2"/>
  <c r="S16" i="2"/>
  <c r="S14" i="2"/>
  <c r="S13" i="2"/>
  <c r="S12" i="2"/>
  <c r="S10" i="2"/>
  <c r="S11" i="2"/>
  <c r="S9" i="2"/>
  <c r="S8" i="2"/>
  <c r="S7" i="2"/>
  <c r="S6" i="2"/>
  <c r="S5" i="2"/>
  <c r="S4" i="2"/>
  <c r="S3" i="2"/>
  <c r="S2" i="2"/>
  <c r="R24" i="2"/>
  <c r="Q24" i="2"/>
  <c r="P24" i="2"/>
  <c r="O24" i="2"/>
  <c r="N24" i="2"/>
  <c r="M24" i="2"/>
  <c r="R23" i="2"/>
  <c r="Q23" i="2"/>
  <c r="P23" i="2"/>
  <c r="O23" i="2"/>
  <c r="N23" i="2"/>
  <c r="M23" i="2"/>
  <c r="R22" i="2"/>
  <c r="Q22" i="2"/>
  <c r="P22" i="2"/>
  <c r="O22" i="2"/>
  <c r="N22" i="2"/>
  <c r="M22" i="2"/>
  <c r="R21" i="2"/>
  <c r="Q21" i="2"/>
  <c r="P21" i="2"/>
  <c r="O21" i="2"/>
  <c r="N21" i="2"/>
  <c r="M21" i="2"/>
  <c r="R20" i="2"/>
  <c r="Q20" i="2"/>
  <c r="P20" i="2"/>
  <c r="O20" i="2"/>
  <c r="N20" i="2"/>
  <c r="M20" i="2"/>
  <c r="R19" i="2"/>
  <c r="Q19" i="2"/>
  <c r="P19" i="2"/>
  <c r="O19" i="2"/>
  <c r="N19" i="2"/>
  <c r="M19" i="2"/>
  <c r="R18" i="2"/>
  <c r="Q18" i="2"/>
  <c r="P18" i="2"/>
  <c r="O18" i="2"/>
  <c r="N18" i="2"/>
  <c r="M18" i="2"/>
  <c r="R17" i="2"/>
  <c r="Q17" i="2"/>
  <c r="P17" i="2"/>
  <c r="O17" i="2"/>
  <c r="N17" i="2"/>
  <c r="M17" i="2"/>
  <c r="R16" i="2"/>
  <c r="Q16" i="2"/>
  <c r="P16" i="2"/>
  <c r="O16" i="2"/>
  <c r="N16" i="2"/>
  <c r="M16" i="2"/>
  <c r="R15" i="2"/>
  <c r="Q15" i="2"/>
  <c r="P15" i="2"/>
  <c r="O15" i="2"/>
  <c r="N15" i="2"/>
  <c r="M15" i="2"/>
  <c r="R14" i="2"/>
  <c r="Q14" i="2"/>
  <c r="P14" i="2"/>
  <c r="O14" i="2"/>
  <c r="N14" i="2"/>
  <c r="M14" i="2"/>
  <c r="R13" i="2"/>
  <c r="Q13" i="2"/>
  <c r="P13" i="2"/>
  <c r="O13" i="2"/>
  <c r="N13" i="2"/>
  <c r="M13" i="2"/>
  <c r="R12" i="2"/>
  <c r="Q12" i="2"/>
  <c r="P12" i="2"/>
  <c r="O12" i="2"/>
  <c r="N12" i="2"/>
  <c r="M12" i="2"/>
  <c r="R11" i="2"/>
  <c r="Q11" i="2"/>
  <c r="P11" i="2"/>
  <c r="O11" i="2"/>
  <c r="N11" i="2"/>
  <c r="M11" i="2"/>
  <c r="R10" i="2"/>
  <c r="Q10" i="2"/>
  <c r="P10" i="2"/>
  <c r="O10" i="2"/>
  <c r="N10" i="2"/>
  <c r="M10" i="2"/>
  <c r="R9" i="2"/>
  <c r="Q9" i="2"/>
  <c r="P9" i="2"/>
  <c r="O9" i="2"/>
  <c r="N9" i="2"/>
  <c r="M9" i="2"/>
  <c r="R8" i="2"/>
  <c r="Q8" i="2"/>
  <c r="P8" i="2"/>
  <c r="O8" i="2"/>
  <c r="N8" i="2"/>
  <c r="M8" i="2"/>
  <c r="R7" i="2"/>
  <c r="Q7" i="2"/>
  <c r="P7" i="2"/>
  <c r="O7" i="2"/>
  <c r="N7" i="2"/>
  <c r="M7" i="2"/>
  <c r="R6" i="2"/>
  <c r="Q6" i="2"/>
  <c r="P6" i="2"/>
  <c r="O6" i="2"/>
  <c r="N6" i="2"/>
  <c r="M6" i="2"/>
  <c r="R5" i="2"/>
  <c r="Q5" i="2"/>
  <c r="P5" i="2"/>
  <c r="O5" i="2"/>
  <c r="N5" i="2"/>
  <c r="M5" i="2"/>
  <c r="R4" i="2"/>
  <c r="Q4" i="2"/>
  <c r="P4" i="2"/>
  <c r="O4" i="2"/>
  <c r="N4" i="2"/>
  <c r="M4" i="2"/>
  <c r="R3" i="2"/>
  <c r="Q3" i="2"/>
  <c r="P3" i="2"/>
  <c r="O3" i="2"/>
  <c r="N3" i="2"/>
  <c r="M3" i="2"/>
  <c r="M2" i="2"/>
  <c r="O2" i="2"/>
  <c r="R2" i="2"/>
  <c r="Q2" i="2"/>
  <c r="P2" i="2"/>
  <c r="N2" i="2"/>
</calcChain>
</file>

<file path=xl/sharedStrings.xml><?xml version="1.0" encoding="utf-8"?>
<sst xmlns="http://schemas.openxmlformats.org/spreadsheetml/2006/main" count="386" uniqueCount="219">
  <si>
    <t>observation_id</t>
  </si>
  <si>
    <t>year</t>
  </si>
  <si>
    <t>indicator</t>
  </si>
  <si>
    <t>value</t>
  </si>
  <si>
    <t>unit</t>
  </si>
  <si>
    <t>source_id</t>
  </si>
  <si>
    <t>data_status</t>
  </si>
  <si>
    <t>record_type</t>
  </si>
  <si>
    <t>regenledger_metric</t>
  </si>
  <si>
    <t>notes</t>
  </si>
  <si>
    <t>BIO-IND-TOTAL-383</t>
  </si>
  <si>
    <t>BIO-IND-FIN-317</t>
  </si>
  <si>
    <t>BIO-IND-NALABANA-AREA</t>
  </si>
  <si>
    <t>BIO-IND-PHYTO-326</t>
  </si>
  <si>
    <t>BIO-IND-SEAGRASS-6</t>
  </si>
  <si>
    <t>BIO-IND-PLANT-748</t>
  </si>
  <si>
    <t>BIO-IND-PLANT-884</t>
  </si>
  <si>
    <t>BIO-IND-BIRD-EN</t>
  </si>
  <si>
    <t>BIO-IND-BIRD-VU</t>
  </si>
  <si>
    <t>BIO-IND-BIRD-NT</t>
  </si>
  <si>
    <t>BIO-IND-BIRD-LC</t>
  </si>
  <si>
    <t>BIO-IND-AVIFAUNA-222</t>
  </si>
  <si>
    <t>BIO-IND-BIRDCOUNT-2026</t>
  </si>
  <si>
    <t>BIO-IND-FISHINGCAT</t>
  </si>
  <si>
    <t>BIO-IND-SHELLFISH</t>
  </si>
  <si>
    <t>BIO-IND-FINFISH</t>
  </si>
  <si>
    <t>BIO-IND-GRADE-202324</t>
  </si>
  <si>
    <t>BIO-IND-GRADE-202122</t>
  </si>
  <si>
    <t>BIO-IND-SIZE-CRAB</t>
  </si>
  <si>
    <t>BIO-IND-SIZE-BAGDA</t>
  </si>
  <si>
    <t>BIO-IND-SIZE-MULLET</t>
  </si>
  <si>
    <t>BIO-IND-COMM-SP</t>
  </si>
  <si>
    <t>BIO-IND-MSY</t>
  </si>
  <si>
    <t>threshold (CIFRI 2005)</t>
  </si>
  <si>
    <t>threshold</t>
  </si>
  <si>
    <t>2021-22</t>
  </si>
  <si>
    <t>2023-24</t>
  </si>
  <si>
    <t>up to 2016 (pub 2018)</t>
  </si>
  <si>
    <t>2021-2022</t>
  </si>
  <si>
    <t>2026</t>
  </si>
  <si>
    <t>2020</t>
  </si>
  <si>
    <t>2012-2020 (updated)</t>
  </si>
  <si>
    <t>earlier RPRC</t>
  </si>
  <si>
    <t>post-hydrological intervention</t>
  </si>
  <si>
    <t>2011-2013</t>
  </si>
  <si>
    <t>ongoing</t>
  </si>
  <si>
    <t>1916-2014 (Mohanty 2015)</t>
  </si>
  <si>
    <t>Mohapatra et al. 2015</t>
  </si>
  <si>
    <t>Maximum Sustainable Yield (fisheries threshold)</t>
  </si>
  <si>
    <t>Desired commercial species diversity</t>
  </si>
  <si>
    <t>Sustainable size – Mugil cephalus (Khainga)</t>
  </si>
  <si>
    <t>Sustainable size – Penaeus monodon (Bagada)</t>
  </si>
  <si>
    <t>Sustainable size – Scylla serrata (Chilika crab)</t>
  </si>
  <si>
    <t>Overall ecosystem health grade</t>
  </si>
  <si>
    <t>Finfish species richness</t>
  </si>
  <si>
    <t>Shellfish species richness</t>
  </si>
  <si>
    <t>Fishing cat (Prionailurus viverrinus) population estimate</t>
  </si>
  <si>
    <t>Total bird population / estimation exercise</t>
  </si>
  <si>
    <t>Avifauna species richness (in/around study area)</t>
  </si>
  <si>
    <t>Birds – Least Concern</t>
  </si>
  <si>
    <t>Birds – Near Threatened</t>
  </si>
  <si>
    <t>Birds – Vulnerable</t>
  </si>
  <si>
    <t>Birds – Endangered</t>
  </si>
  <si>
    <t>Flowering plant species richness</t>
  </si>
  <si>
    <t>Angiosperm species (RPRC record)</t>
  </si>
  <si>
    <t>Seagrass species richness</t>
  </si>
  <si>
    <t>Phytoplankton species richness</t>
  </si>
  <si>
    <t>Nalabana Island / Sanctuary area</t>
  </si>
  <si>
    <t>Finfish species (Mohanty et al. 2015 checklist)</t>
  </si>
  <si>
    <t>Finfish + shellfish combined checklist</t>
  </si>
  <si>
    <t>262-495</t>
  </si>
  <si>
    <t>124-197</t>
  </si>
  <si>
    <t>85 (min)</t>
  </si>
  <si>
    <t>A</t>
  </si>
  <si>
    <t>B+</t>
  </si>
  <si>
    <t>tonnes/year</t>
  </si>
  <si>
    <t>species</t>
  </si>
  <si>
    <t>mm TL</t>
  </si>
  <si>
    <t>mm</t>
  </si>
  <si>
    <t>letter grade</t>
  </si>
  <si>
    <t>individuals</t>
  </si>
  <si>
    <t>km²</t>
  </si>
  <si>
    <t>geographic_scope</t>
  </si>
  <si>
    <t>Chilika Lagoon</t>
  </si>
  <si>
    <t>Chilika Lake</t>
  </si>
  <si>
    <t>Chilika Lagoon (marshlands + Parikud + coastal islands)</t>
  </si>
  <si>
    <t>Chilika Lake and around</t>
  </si>
  <si>
    <t>Chilika Lagoon, shoreline &amp; uninhabited islands</t>
  </si>
  <si>
    <t>Chilika</t>
  </si>
  <si>
    <t>Chilika Lagoon (central, southern, outer channel)</t>
  </si>
  <si>
    <t>Nalabana</t>
  </si>
  <si>
    <t>BIO-CDA-001</t>
  </si>
  <si>
    <t>BIO-CDA-002</t>
  </si>
  <si>
    <t>BIO-CDA-003</t>
  </si>
  <si>
    <t>BIO-CDA-006</t>
  </si>
  <si>
    <t>BIO-CDA-004</t>
  </si>
  <si>
    <t>OFFICIAL_CDA_THRESHOLD</t>
  </si>
  <si>
    <t>VERIFIED</t>
  </si>
  <si>
    <t>HISTORICAL_INVENTORY</t>
  </si>
  <si>
    <t>VERIFIED_OFFICIAL</t>
  </si>
  <si>
    <t>HISTORICAL_REFERENCE</t>
  </si>
  <si>
    <t>VERIFIED_HISTORICAL</t>
  </si>
  <si>
    <t>Still used by CDA as biodiversity/fisheries sustainability threshold</t>
  </si>
  <si>
    <t>Desired condition for commercial species landed</t>
  </si>
  <si>
    <t>9-indicator index (WQ + Fisheries + Biodiversity)</t>
  </si>
  <si>
    <t>217 genera, 92 families, 23 orders. Do NOT call this 2026 inventory</t>
  </si>
  <si>
    <t>29 prawn/shrimp + 35 brachyuran crab + 2 lobster</t>
  </si>
  <si>
    <t>Globally endangered (EDGE); CDA Ambassador of the lagoon 2020</t>
  </si>
  <si>
    <t>Bird COUNT (individuals), not species count. 2026 estimation exercise completed.</t>
  </si>
  <si>
    <t>62 orders, 20 families; 9 species first recorded in study area</t>
  </si>
  <si>
    <t>Of total documented species</t>
  </si>
  <si>
    <t>537 genera, 130 families; 80 species first reported by Tripathy et al. 2020</t>
  </si>
  <si>
    <t>Regional Plant Resource Centre, Bhubaneswar; superseded by 884 update</t>
  </si>
  <si>
    <t>Halophila ovalis, H. ovata, H. beccarii, Halodule pinifolia, H. uninervis, Ruppia maritima</t>
  </si>
  <si>
    <t>Diatoms 155, Dinoflagellates 49, Green algae 41, Blue-green 45, Euglenoids 32, Silicoflagellates 4</t>
  </si>
  <si>
    <t>Sanctuary status since 1987; major waterbird congregation area</t>
  </si>
  <si>
    <t>207 genera, 88 families, 23 orders; different from 336 in 2018 monograph – keep both</t>
  </si>
  <si>
    <t>Do not replace 336+66; different source/year</t>
  </si>
  <si>
    <t>CHL-BIO-002</t>
  </si>
  <si>
    <t xml:space="preserve"> threshold</t>
  </si>
  <si>
    <t xml:space="preserve"> observation</t>
  </si>
  <si>
    <t>historical_observation</t>
  </si>
  <si>
    <t>observation</t>
  </si>
  <si>
    <t xml:space="preserve"> needs_review</t>
  </si>
  <si>
    <t>reference</t>
  </si>
  <si>
    <r>
      <rPr>
        <b/>
        <sz val="11"/>
        <color theme="1"/>
        <rFont val="Calibri"/>
        <family val="2"/>
        <scheme val="minor"/>
      </rPr>
      <t>dataset_id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observation_id</t>
    </r>
  </si>
  <si>
    <t>source_institution</t>
  </si>
  <si>
    <t>source_document</t>
  </si>
  <si>
    <t>source_url</t>
  </si>
  <si>
    <t>source_pages</t>
  </si>
  <si>
    <t>source_status</t>
  </si>
  <si>
    <t>source_time_period</t>
  </si>
  <si>
    <t>institution</t>
  </si>
  <si>
    <t>document_title</t>
  </si>
  <si>
    <t>publication_year</t>
  </si>
  <si>
    <t>official_url</t>
  </si>
  <si>
    <t>file_name</t>
  </si>
  <si>
    <t>download_date</t>
  </si>
  <si>
    <t>pages_used</t>
  </si>
  <si>
    <t>data_extracted</t>
  </si>
  <si>
    <t>time_period</t>
  </si>
  <si>
    <t>status</t>
  </si>
  <si>
    <t>Chilika Development Authority</t>
  </si>
  <si>
    <t>CDA Health Report Card 2021-22</t>
  </si>
  <si>
    <t>2022/2023</t>
  </si>
  <si>
    <t>https://www.chilika.com/</t>
  </si>
  <si>
    <t>CDA_Health_Report_Card_2021_22.pdf</t>
  </si>
  <si>
    <t>2026-08-18</t>
  </si>
  <si>
    <t>Threshold + Biodiversity + Fishing cat sections</t>
  </si>
  <si>
    <t>MSY, commercial spp desired=45, size thresholds, grades, fishing cat 176, dolphin/bird thresholds</t>
  </si>
  <si>
    <t>VERIFIED_PRIMARY</t>
  </si>
  <si>
    <t>CDA Health Report Card 2023-24</t>
  </si>
  <si>
    <t>2024</t>
  </si>
  <si>
    <t>CDA Health Report(2023-24).pdf</t>
  </si>
  <si>
    <t>Results / grades</t>
  </si>
  <si>
    <t>Overall grade B+</t>
  </si>
  <si>
    <t>ICAR-CIFRI &amp; CDA</t>
  </si>
  <si>
    <t>Fish and Shellfish Diversity and Its Sustainable Management in Chilika Lake</t>
  </si>
  <si>
    <t>2018</t>
  </si>
  <si>
    <t>https://www.chilika.com/documents/publication_1564535640.pdf</t>
  </si>
  <si>
    <t>CDA_Fish_Shellfish_Diversity_2018.pdf</t>
  </si>
  <si>
    <t>Checklist + conservation status</t>
  </si>
  <si>
    <t>336 finfish, 66 shellfish, threatened counts</t>
  </si>
  <si>
    <t>Do not label as 2026 inventory</t>
  </si>
  <si>
    <t>CDA Annual Report 2011-13</t>
  </si>
  <si>
    <t>2013</t>
  </si>
  <si>
    <t>https://www.chilika.com/documents/publication_1395326938.pdf</t>
  </si>
  <si>
    <t>CDA_Annual_Report_2011_13.pdf</t>
  </si>
  <si>
    <t>Biodiversity-related sections if any</t>
  </si>
  <si>
    <t>Cross-referenced; limited new species counts</t>
  </si>
  <si>
    <t>2011-13</t>
  </si>
  <si>
    <t>SEARCHED_LIMITED_BIODIVERSITY</t>
  </si>
  <si>
    <t>BIO-CDA-005</t>
  </si>
  <si>
    <t>CDA Ecology &amp; Biodiversity / Bird / Plant / Biodiversity web pages</t>
  </si>
  <si>
    <t>Current</t>
  </si>
  <si>
    <t>https://www.chilika.com/chilika-ecology-and-biodiversity.php etc.</t>
  </si>
  <si>
    <t>—</t>
  </si>
  <si>
    <t>Live fetch timed out from this environment</t>
  </si>
  <si>
    <t>PENDING_LIVE_FETCH</t>
  </si>
  <si>
    <t>User may re-provide page captures or PDFs for 2026 bird count (11,32,200) and 2025 dolphin (15) if available</t>
  </si>
  <si>
    <t>BIO-OFD-001</t>
  </si>
  <si>
    <t>Odisha Forest Department</t>
  </si>
  <si>
    <t>Working Plan – Checklist of Birds in Chilika Lake</t>
  </si>
  <si>
    <t>https://odishaforest.in/admin/data/documents/div_working_plan_file_1628084390.pdf</t>
  </si>
  <si>
    <t>Download timed out</t>
  </si>
  <si>
    <t>PENDING_DOWNLOAD</t>
  </si>
  <si>
    <t>Priority for resident/migrant status checklist</t>
  </si>
  <si>
    <t>CDA Ecology &amp; Biodiversity / Floral / Faunal pages</t>
  </si>
  <si>
    <t>Current (content includes 2026 bird estimate)</t>
  </si>
  <si>
    <t>https://www.chilika.com/chilika-ecology-and-biodiversity.php</t>
  </si>
  <si>
    <t>Floral, Faunal, Birds, Dolphins, Seagrass, Fisheries sections</t>
  </si>
  <si>
    <t>2026 bird count 11,32,200; 222 avifauna; conservation breakdown; 884 plants; 6 seagrasses; fish checklists; dolphin 2025=15 (flagged)</t>
  </si>
  <si>
    <t>Chilika Lagoon / Nalabana</t>
  </si>
  <si>
    <t>Various (2011-2026)</t>
  </si>
  <si>
    <t>VERIFIED_OFFICIAL_CONTENT</t>
  </si>
  <si>
    <t>Content extracted from official CDA page text provided; live page previously timed out</t>
  </si>
  <si>
    <t>BIO-CDA-007</t>
  </si>
  <si>
    <t>CDA Environment / Dolphin research</t>
  </si>
  <si>
    <t>https://www.chilika.com/environments.php</t>
  </si>
  <si>
    <t>Dolphin section</t>
  </si>
  <si>
    <t>2013 dolphin estimate 152</t>
  </si>
  <si>
    <t>BIO-CDA-008</t>
  </si>
  <si>
    <t>CDA Official Bird Inventory page</t>
  </si>
  <si>
    <t>https://www.chilika.com/page.php?pid=bird</t>
  </si>
  <si>
    <t>Species table (Common Name / Species Name / Status)</t>
  </si>
  <si>
    <t>Partial extract SI.No 1–11; full list exists on page</t>
  </si>
  <si>
    <t>VERIFIED_OFFICIAL_PARTIAL</t>
  </si>
  <si>
    <t>Status: R / M / R/SM. Full page extraction pending additional screenshots.</t>
  </si>
  <si>
    <t>BIO-OFD-2025</t>
  </si>
  <si>
    <t>Principal Chief Conservator of Forests &amp; Head of Forest Force, Odisha</t>
  </si>
  <si>
    <t>Highlights of Odisha Forestry Sector 2025</t>
  </si>
  <si>
    <t>2025</t>
  </si>
  <si>
    <t>Official state forestry publication</t>
  </si>
  <si>
    <t>publication_file_1151142053.pdf</t>
  </si>
  <si>
    <t>pp.55 (birds), 58 (dolphins), 177-182 (CDA section)</t>
  </si>
  <si>
    <t>Primary official source for 2025 bird &amp; dolphin census figures</t>
  </si>
  <si>
    <t>Chilika + statewide</t>
  </si>
  <si>
    <t>Resolves previous PENDING dolphin figure</t>
  </si>
  <si>
    <t>source_mapping_status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</si>
</sst>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F0AA-4BF4-4582-9BAB-594EB3B92386}">
  <dimension ref="A1:S24"/>
  <sheetViews>
    <sheetView tabSelected="1" zoomScale="130" zoomScaleNormal="130" workbookViewId="0">
      <selection activeCell="S28" sqref="S28"/>
    </sheetView>
  </sheetViews>
  <sheetFormatPr defaultRowHeight="14.5" x14ac:dyDescent="0.35"/>
  <sheetData>
    <row r="1" spans="1:19" x14ac:dyDescent="0.35">
      <c r="A1" t="s">
        <v>125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82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218</v>
      </c>
    </row>
    <row r="2" spans="1:19" x14ac:dyDescent="0.35">
      <c r="A2" t="s">
        <v>118</v>
      </c>
      <c r="B2" t="s">
        <v>32</v>
      </c>
      <c r="C2" t="s">
        <v>33</v>
      </c>
      <c r="D2" t="s">
        <v>48</v>
      </c>
      <c r="E2">
        <v>11500</v>
      </c>
      <c r="F2" t="s">
        <v>75</v>
      </c>
      <c r="G2" t="s">
        <v>83</v>
      </c>
      <c r="H2" t="s">
        <v>91</v>
      </c>
      <c r="I2" t="s">
        <v>96</v>
      </c>
      <c r="J2" t="s">
        <v>119</v>
      </c>
      <c r="L2" t="s">
        <v>102</v>
      </c>
      <c r="M2" t="str">
        <f>_xlfn.XLOOKUP(H2,Source_Register!$A:$A,Source_Register!$B:$B,"NOT_FOUND")</f>
        <v>Chilika Development Authority</v>
      </c>
      <c r="N2" t="str">
        <f>_xlfn.XLOOKUP(H2,Source_Register!$A:$A,Source_Register!$C:$C,"NOT_FOUND")</f>
        <v>CDA Health Report Card 2021-22</v>
      </c>
      <c r="O2" t="str">
        <f>_xlfn.XLOOKUP(H2,Source_Register!$A:$A,Source_Register!$E:$E,"NOT_FOUND")</f>
        <v>https://www.chilika.com/</v>
      </c>
      <c r="P2" t="str">
        <f>_xlfn.XLOOKUP(H2,Source_Register!$A:$A,Source_Register!$H:$H,"NOT_FOUND")</f>
        <v>Threshold + Biodiversity + Fishing cat sections</v>
      </c>
      <c r="Q2" t="str">
        <f>_xlfn.XLOOKUP(H2,Source_Register!$A:$A,Source_Register!$L:$L,"NOT_FOUND")</f>
        <v>VERIFIED_PRIMARY</v>
      </c>
      <c r="R2" t="str">
        <f>_xlfn.XLOOKUP(H2,Source_Register!$A:$A,Source_Register!$K:$K,"NOT_FOUND")</f>
        <v>2021-22</v>
      </c>
      <c r="S2" t="str">
        <f>IF(OR(M2="NOT_FOUND",N2="NOT_FOUND",O2="NOT_FOUND",P2="NOT_FOUND",Q2="NOT_FOUND",R2="NOT_FOUND"),"NEEDS_REVIEW","MATCHED")</f>
        <v>MATCHED</v>
      </c>
    </row>
    <row r="3" spans="1:19" x14ac:dyDescent="0.35">
      <c r="A3" t="s">
        <v>118</v>
      </c>
      <c r="B3" t="s">
        <v>31</v>
      </c>
      <c r="C3" t="s">
        <v>34</v>
      </c>
      <c r="D3" t="s">
        <v>49</v>
      </c>
      <c r="E3">
        <v>45</v>
      </c>
      <c r="F3" t="s">
        <v>76</v>
      </c>
      <c r="G3" t="s">
        <v>83</v>
      </c>
      <c r="H3" t="s">
        <v>91</v>
      </c>
      <c r="I3" t="s">
        <v>96</v>
      </c>
      <c r="J3" t="s">
        <v>119</v>
      </c>
      <c r="L3" t="s">
        <v>103</v>
      </c>
      <c r="M3" t="str">
        <f>_xlfn.XLOOKUP(H3,Source_Register!$A:$A,Source_Register!$B:$B,"NOT_FOUND")</f>
        <v>Chilika Development Authority</v>
      </c>
      <c r="N3" t="str">
        <f>_xlfn.XLOOKUP(H3,Source_Register!$A:$A,Source_Register!$C:$C,"NOT_FOUND")</f>
        <v>CDA Health Report Card 2021-22</v>
      </c>
      <c r="O3" t="str">
        <f>_xlfn.XLOOKUP(H3,Source_Register!$A:$A,Source_Register!$E:$E,"NOT_FOUND")</f>
        <v>https://www.chilika.com/</v>
      </c>
      <c r="P3" t="str">
        <f>_xlfn.XLOOKUP(H3,Source_Register!$A:$A,Source_Register!$H:$H,"NOT_FOUND")</f>
        <v>Threshold + Biodiversity + Fishing cat sections</v>
      </c>
      <c r="Q3" t="str">
        <f>_xlfn.XLOOKUP(H3,Source_Register!$A:$A,Source_Register!$L:$L,"NOT_FOUND")</f>
        <v>VERIFIED_PRIMARY</v>
      </c>
      <c r="R3" t="str">
        <f>_xlfn.XLOOKUP(H3,Source_Register!$A:$A,Source_Register!$K:$K,"NOT_FOUND")</f>
        <v>2021-22</v>
      </c>
      <c r="S3" t="str">
        <f>IF(OR(M2="NOT_FOUND",N2="NOT_FOUND",O2="NOT_FOUND",P2="NOT_FOUND",Q2="NOT_FOUND",R2="NOT_FOUND"),"NEEDS_REVIEW","MATCHED")</f>
        <v>MATCHED</v>
      </c>
    </row>
    <row r="4" spans="1:19" x14ac:dyDescent="0.35">
      <c r="A4" t="s">
        <v>118</v>
      </c>
      <c r="B4" t="s">
        <v>30</v>
      </c>
      <c r="C4" t="s">
        <v>34</v>
      </c>
      <c r="D4" t="s">
        <v>50</v>
      </c>
      <c r="E4" t="s">
        <v>70</v>
      </c>
      <c r="F4" t="s">
        <v>77</v>
      </c>
      <c r="G4" t="s">
        <v>83</v>
      </c>
      <c r="H4" t="s">
        <v>91</v>
      </c>
      <c r="I4" t="s">
        <v>96</v>
      </c>
      <c r="J4" t="s">
        <v>119</v>
      </c>
      <c r="M4" t="str">
        <f>_xlfn.XLOOKUP(H4,Source_Register!$A:$A,Source_Register!$B:$B,"NOT_FOUND")</f>
        <v>Chilika Development Authority</v>
      </c>
      <c r="N4" t="str">
        <f>_xlfn.XLOOKUP(H4,Source_Register!$A:$A,Source_Register!$C:$C,"NOT_FOUND")</f>
        <v>CDA Health Report Card 2021-22</v>
      </c>
      <c r="O4" t="str">
        <f>_xlfn.XLOOKUP(H4,Source_Register!$A:$A,Source_Register!$E:$E,"NOT_FOUND")</f>
        <v>https://www.chilika.com/</v>
      </c>
      <c r="P4" t="str">
        <f>_xlfn.XLOOKUP(H4,Source_Register!$A:$A,Source_Register!$H:$H,"NOT_FOUND")</f>
        <v>Threshold + Biodiversity + Fishing cat sections</v>
      </c>
      <c r="Q4" t="str">
        <f>_xlfn.XLOOKUP(H4,Source_Register!$A:$A,Source_Register!$L:$L,"NOT_FOUND")</f>
        <v>VERIFIED_PRIMARY</v>
      </c>
      <c r="R4" t="str">
        <f>_xlfn.XLOOKUP(H4,Source_Register!$A:$A,Source_Register!$K:$K,"NOT_FOUND")</f>
        <v>2021-22</v>
      </c>
      <c r="S4" t="str">
        <f>IF(OR(M2="NOT_FOUND",N2="NOT_FOUND",O2="NOT_FOUND",P2="NOT_FOUND",Q2="NOT_FOUND",R2="NOT_FOUND"),"NEEDS_REVIEW","MATCHED")</f>
        <v>MATCHED</v>
      </c>
    </row>
    <row r="5" spans="1:19" x14ac:dyDescent="0.35">
      <c r="A5" t="s">
        <v>118</v>
      </c>
      <c r="B5" t="s">
        <v>29</v>
      </c>
      <c r="C5" t="s">
        <v>34</v>
      </c>
      <c r="D5" t="s">
        <v>51</v>
      </c>
      <c r="E5" t="s">
        <v>71</v>
      </c>
      <c r="F5" t="s">
        <v>78</v>
      </c>
      <c r="G5" t="s">
        <v>83</v>
      </c>
      <c r="H5" t="s">
        <v>91</v>
      </c>
      <c r="I5" t="s">
        <v>96</v>
      </c>
      <c r="J5" t="s">
        <v>119</v>
      </c>
      <c r="M5" t="str">
        <f>_xlfn.XLOOKUP(H5,Source_Register!$A:$A,Source_Register!$B:$B,"NOT_FOUND")</f>
        <v>Chilika Development Authority</v>
      </c>
      <c r="N5" t="str">
        <f>_xlfn.XLOOKUP(H5,Source_Register!$A:$A,Source_Register!$C:$C,"NOT_FOUND")</f>
        <v>CDA Health Report Card 2021-22</v>
      </c>
      <c r="O5" t="str">
        <f>_xlfn.XLOOKUP(H5,Source_Register!$A:$A,Source_Register!$E:$E,"NOT_FOUND")</f>
        <v>https://www.chilika.com/</v>
      </c>
      <c r="P5" t="str">
        <f>_xlfn.XLOOKUP(H5,Source_Register!$A:$A,Source_Register!$H:$H,"NOT_FOUND")</f>
        <v>Threshold + Biodiversity + Fishing cat sections</v>
      </c>
      <c r="Q5" t="str">
        <f>_xlfn.XLOOKUP(H5,Source_Register!$A:$A,Source_Register!$L:$L,"NOT_FOUND")</f>
        <v>VERIFIED_PRIMARY</v>
      </c>
      <c r="R5" t="str">
        <f>_xlfn.XLOOKUP(H5,Source_Register!$A:$A,Source_Register!$K:$K,"NOT_FOUND")</f>
        <v>2021-22</v>
      </c>
      <c r="S5" t="str">
        <f>IF(OR(M2="NOT_FOUND",N2="NOT_FOUND",O2="NOT_FOUND",P2="NOT_FOUND",Q2="NOT_FOUND",R2="NOT_FOUND"),"NEEDS_REVIEW","MATCHED")</f>
        <v>MATCHED</v>
      </c>
    </row>
    <row r="6" spans="1:19" x14ac:dyDescent="0.35">
      <c r="A6" t="s">
        <v>118</v>
      </c>
      <c r="B6" t="s">
        <v>28</v>
      </c>
      <c r="C6" t="s">
        <v>34</v>
      </c>
      <c r="D6" t="s">
        <v>52</v>
      </c>
      <c r="E6" t="s">
        <v>72</v>
      </c>
      <c r="F6" t="s">
        <v>78</v>
      </c>
      <c r="G6" t="s">
        <v>83</v>
      </c>
      <c r="H6" t="s">
        <v>91</v>
      </c>
      <c r="I6" t="s">
        <v>96</v>
      </c>
      <c r="J6" t="s">
        <v>119</v>
      </c>
      <c r="M6" t="str">
        <f>_xlfn.XLOOKUP(H6,Source_Register!$A:$A,Source_Register!$B:$B,"NOT_FOUND")</f>
        <v>Chilika Development Authority</v>
      </c>
      <c r="N6" t="str">
        <f>_xlfn.XLOOKUP(H6,Source_Register!$A:$A,Source_Register!$C:$C,"NOT_FOUND")</f>
        <v>CDA Health Report Card 2021-22</v>
      </c>
      <c r="O6" t="str">
        <f>_xlfn.XLOOKUP(H6,Source_Register!$A:$A,Source_Register!$E:$E,"NOT_FOUND")</f>
        <v>https://www.chilika.com/</v>
      </c>
      <c r="P6" t="str">
        <f>_xlfn.XLOOKUP(H6,Source_Register!$A:$A,Source_Register!$H:$H,"NOT_FOUND")</f>
        <v>Threshold + Biodiversity + Fishing cat sections</v>
      </c>
      <c r="Q6" t="str">
        <f>_xlfn.XLOOKUP(H6,Source_Register!$A:$A,Source_Register!$L:$L,"NOT_FOUND")</f>
        <v>VERIFIED_PRIMARY</v>
      </c>
      <c r="R6" t="str">
        <f>_xlfn.XLOOKUP(H6,Source_Register!$A:$A,Source_Register!$K:$K,"NOT_FOUND")</f>
        <v>2021-22</v>
      </c>
      <c r="S6" t="str">
        <f>IF(OR(M2="NOT_FOUND",N2="NOT_FOUND",O2="NOT_FOUND",P2="NOT_FOUND",Q2="NOT_FOUND",R2="NOT_FOUND"),"NEEDS_REVIEW","MATCHED")</f>
        <v>MATCHED</v>
      </c>
    </row>
    <row r="7" spans="1:19" x14ac:dyDescent="0.35">
      <c r="A7" t="s">
        <v>118</v>
      </c>
      <c r="B7" t="s">
        <v>27</v>
      </c>
      <c r="C7" t="s">
        <v>35</v>
      </c>
      <c r="D7" t="s">
        <v>53</v>
      </c>
      <c r="E7" t="s">
        <v>73</v>
      </c>
      <c r="F7" t="s">
        <v>79</v>
      </c>
      <c r="G7" t="s">
        <v>83</v>
      </c>
      <c r="H7" t="s">
        <v>91</v>
      </c>
      <c r="I7" t="s">
        <v>97</v>
      </c>
      <c r="J7" t="s">
        <v>120</v>
      </c>
      <c r="L7" t="s">
        <v>104</v>
      </c>
      <c r="M7" t="str">
        <f>_xlfn.XLOOKUP(H7,Source_Register!$A:$A,Source_Register!$B:$B,"NOT_FOUND")</f>
        <v>Chilika Development Authority</v>
      </c>
      <c r="N7" t="str">
        <f>_xlfn.XLOOKUP(H7,Source_Register!$A:$A,Source_Register!$C:$C,"NOT_FOUND")</f>
        <v>CDA Health Report Card 2021-22</v>
      </c>
      <c r="O7" t="str">
        <f>_xlfn.XLOOKUP(H7,Source_Register!$A:$A,Source_Register!$E:$E,"NOT_FOUND")</f>
        <v>https://www.chilika.com/</v>
      </c>
      <c r="P7" t="str">
        <f>_xlfn.XLOOKUP(H7,Source_Register!$A:$A,Source_Register!$H:$H,"NOT_FOUND")</f>
        <v>Threshold + Biodiversity + Fishing cat sections</v>
      </c>
      <c r="Q7" t="str">
        <f>_xlfn.XLOOKUP(H7,Source_Register!$A:$A,Source_Register!$L:$L,"NOT_FOUND")</f>
        <v>VERIFIED_PRIMARY</v>
      </c>
      <c r="R7" t="str">
        <f>_xlfn.XLOOKUP(H7,Source_Register!$A:$A,Source_Register!$K:$K,"NOT_FOUND")</f>
        <v>2021-22</v>
      </c>
      <c r="S7" t="str">
        <f>IF(OR(M2="NOT_FOUND",N2="NOT_FOUND",O2="NOT_FOUND",P2="NOT_FOUND",Q2="NOT_FOUND",R2="NOT_FOUND"),"NEEDS_REVIEW","MATCHED")</f>
        <v>MATCHED</v>
      </c>
    </row>
    <row r="8" spans="1:19" x14ac:dyDescent="0.35">
      <c r="A8" t="s">
        <v>118</v>
      </c>
      <c r="B8" t="s">
        <v>26</v>
      </c>
      <c r="C8" t="s">
        <v>36</v>
      </c>
      <c r="D8" t="s">
        <v>53</v>
      </c>
      <c r="E8" t="s">
        <v>74</v>
      </c>
      <c r="F8" t="s">
        <v>79</v>
      </c>
      <c r="G8" t="s">
        <v>83</v>
      </c>
      <c r="H8" t="s">
        <v>92</v>
      </c>
      <c r="I8" t="s">
        <v>97</v>
      </c>
      <c r="J8" t="s">
        <v>120</v>
      </c>
      <c r="M8" t="str">
        <f>_xlfn.XLOOKUP(H8,Source_Register!$A:$A,Source_Register!$B:$B,"NOT_FOUND")</f>
        <v>Chilika Development Authority</v>
      </c>
      <c r="N8" t="str">
        <f>_xlfn.XLOOKUP(H8,Source_Register!$A:$A,Source_Register!$C:$C,"NOT_FOUND")</f>
        <v>CDA Health Report Card 2023-24</v>
      </c>
      <c r="O8" t="str">
        <f>_xlfn.XLOOKUP(H8,Source_Register!$A:$A,Source_Register!$E:$E,"NOT_FOUND")</f>
        <v>https://www.chilika.com/</v>
      </c>
      <c r="P8" t="str">
        <f>_xlfn.XLOOKUP(H8,Source_Register!$A:$A,Source_Register!$H:$H,"NOT_FOUND")</f>
        <v>Results / grades</v>
      </c>
      <c r="Q8" t="str">
        <f>_xlfn.XLOOKUP(H8,Source_Register!$A:$A,Source_Register!$L:$L,"NOT_FOUND")</f>
        <v>VERIFIED_PRIMARY</v>
      </c>
      <c r="R8" t="str">
        <f>_xlfn.XLOOKUP(H8,Source_Register!$A:$A,Source_Register!$K:$K,"NOT_FOUND")</f>
        <v>2023-24</v>
      </c>
      <c r="S8" t="str">
        <f>IF(OR(M2="NOT_FOUND",N2="NOT_FOUND",O2="NOT_FOUND",P2="NOT_FOUND",Q2="NOT_FOUND",R2="NOT_FOUND"),"NEEDS_REVIEW","MATCHED")</f>
        <v>MATCHED</v>
      </c>
    </row>
    <row r="9" spans="1:19" x14ac:dyDescent="0.35">
      <c r="A9" t="s">
        <v>118</v>
      </c>
      <c r="B9" t="s">
        <v>25</v>
      </c>
      <c r="C9" t="s">
        <v>37</v>
      </c>
      <c r="D9" t="s">
        <v>54</v>
      </c>
      <c r="E9">
        <v>336</v>
      </c>
      <c r="F9" t="s">
        <v>76</v>
      </c>
      <c r="G9" t="s">
        <v>84</v>
      </c>
      <c r="H9" t="s">
        <v>93</v>
      </c>
      <c r="I9" t="s">
        <v>98</v>
      </c>
      <c r="J9" t="s">
        <v>121</v>
      </c>
      <c r="L9" t="s">
        <v>105</v>
      </c>
      <c r="M9" t="str">
        <f>_xlfn.XLOOKUP(H9,Source_Register!$A:$A,Source_Register!$B:$B,"NOT_FOUND")</f>
        <v>ICAR-CIFRI &amp; CDA</v>
      </c>
      <c r="N9" t="str">
        <f>_xlfn.XLOOKUP(H9,Source_Register!$A:$A,Source_Register!$C:$C,"NOT_FOUND")</f>
        <v>Fish and Shellfish Diversity and Its Sustainable Management in Chilika Lake</v>
      </c>
      <c r="O9" t="str">
        <f>_xlfn.XLOOKUP(H9,Source_Register!$A:$A,Source_Register!$E:$E,"NOT_FOUND")</f>
        <v>https://www.chilika.com/documents/publication_1564535640.pdf</v>
      </c>
      <c r="P9" t="str">
        <f>_xlfn.XLOOKUP(H9,Source_Register!$A:$A,Source_Register!$H:$H,"NOT_FOUND")</f>
        <v>Checklist + conservation status</v>
      </c>
      <c r="Q9" t="str">
        <f>_xlfn.XLOOKUP(H9,Source_Register!$A:$A,Source_Register!$L:$L,"NOT_FOUND")</f>
        <v>VERIFIED_PRIMARY</v>
      </c>
      <c r="R9" t="str">
        <f>_xlfn.XLOOKUP(H9,Source_Register!$A:$A,Source_Register!$K:$K,"NOT_FOUND")</f>
        <v>up to 2016 (pub 2018)</v>
      </c>
      <c r="S9" t="str">
        <f>IF(OR(M2="NOT_FOUND",N2="NOT_FOUND",O2="NOT_FOUND",P2="NOT_FOUND",Q2="NOT_FOUND",R2="NOT_FOUND"),"NEEDS_REVIEW","MATCHED")</f>
        <v>MATCHED</v>
      </c>
    </row>
    <row r="10" spans="1:19" x14ac:dyDescent="0.35">
      <c r="A10" t="s">
        <v>118</v>
      </c>
      <c r="B10" t="s">
        <v>24</v>
      </c>
      <c r="C10" t="s">
        <v>37</v>
      </c>
      <c r="D10" t="s">
        <v>55</v>
      </c>
      <c r="E10">
        <v>66</v>
      </c>
      <c r="F10" t="s">
        <v>76</v>
      </c>
      <c r="G10" t="s">
        <v>84</v>
      </c>
      <c r="H10" t="s">
        <v>93</v>
      </c>
      <c r="I10" t="s">
        <v>98</v>
      </c>
      <c r="J10" t="s">
        <v>121</v>
      </c>
      <c r="L10" t="s">
        <v>106</v>
      </c>
      <c r="M10" t="str">
        <f>_xlfn.XLOOKUP(H10,Source_Register!$A:$A,Source_Register!$B:$B,"NOT_FOUND")</f>
        <v>ICAR-CIFRI &amp; CDA</v>
      </c>
      <c r="N10" t="str">
        <f>_xlfn.XLOOKUP(H10,Source_Register!$A:$A,Source_Register!$C:$C,"NOT_FOUND")</f>
        <v>Fish and Shellfish Diversity and Its Sustainable Management in Chilika Lake</v>
      </c>
      <c r="O10" t="str">
        <f>_xlfn.XLOOKUP(H10,Source_Register!$A:$A,Source_Register!$E:$E,"NOT_FOUND")</f>
        <v>https://www.chilika.com/documents/publication_1564535640.pdf</v>
      </c>
      <c r="P10" t="str">
        <f>_xlfn.XLOOKUP(H10,Source_Register!$A:$A,Source_Register!$H:$H,"NOT_FOUND")</f>
        <v>Checklist + conservation status</v>
      </c>
      <c r="Q10" t="str">
        <f>_xlfn.XLOOKUP(H10,Source_Register!$A:$A,Source_Register!$L:$L,"NOT_FOUND")</f>
        <v>VERIFIED_PRIMARY</v>
      </c>
      <c r="R10" t="str">
        <f>_xlfn.XLOOKUP(H10,Source_Register!$A:$A,Source_Register!$K:$K,"NOT_FOUND")</f>
        <v>up to 2016 (pub 2018)</v>
      </c>
      <c r="S10" t="str">
        <f>IF(OR(M2="NOT_FOUND",N2="NOT_FOUND",O2="NOT_FOUND",P2="NOT_FOUND",Q2="NOT_FOUND",R2="NOT_FOUND"),"NEEDS_REVIEW","MATCHED")</f>
        <v>MATCHED</v>
      </c>
    </row>
    <row r="11" spans="1:19" x14ac:dyDescent="0.35">
      <c r="A11" t="s">
        <v>118</v>
      </c>
      <c r="B11" t="s">
        <v>23</v>
      </c>
      <c r="C11" t="s">
        <v>38</v>
      </c>
      <c r="D11" t="s">
        <v>56</v>
      </c>
      <c r="E11">
        <v>176</v>
      </c>
      <c r="F11" t="s">
        <v>80</v>
      </c>
      <c r="G11" t="s">
        <v>85</v>
      </c>
      <c r="H11" t="s">
        <v>91</v>
      </c>
      <c r="I11" t="s">
        <v>97</v>
      </c>
      <c r="J11" t="s">
        <v>122</v>
      </c>
      <c r="L11" t="s">
        <v>107</v>
      </c>
      <c r="M11" t="str">
        <f>_xlfn.XLOOKUP(H11,Source_Register!$A:$A,Source_Register!$B:$B,"NOT_FOUND")</f>
        <v>Chilika Development Authority</v>
      </c>
      <c r="N11" t="str">
        <f>_xlfn.XLOOKUP(H11,Source_Register!$A:$A,Source_Register!$C:$C,"NOT_FOUND")</f>
        <v>CDA Health Report Card 2021-22</v>
      </c>
      <c r="O11" t="str">
        <f>_xlfn.XLOOKUP(H11,Source_Register!$A:$A,Source_Register!$E:$E,"NOT_FOUND")</f>
        <v>https://www.chilika.com/</v>
      </c>
      <c r="P11" t="str">
        <f>_xlfn.XLOOKUP(H11,Source_Register!$A:$A,Source_Register!$H:$H,"NOT_FOUND")</f>
        <v>Threshold + Biodiversity + Fishing cat sections</v>
      </c>
      <c r="Q11" t="str">
        <f>_xlfn.XLOOKUP(H11,Source_Register!$A:$A,Source_Register!$L:$L,"NOT_FOUND")</f>
        <v>VERIFIED_PRIMARY</v>
      </c>
      <c r="R11" t="str">
        <f>_xlfn.XLOOKUP(H11,Source_Register!$A:$A,Source_Register!$K:$K,"NOT_FOUND")</f>
        <v>2021-22</v>
      </c>
      <c r="S11" t="str">
        <f>IF(OR(M2="NOT_FOUND",N2="NOT_FOUND",O2="NOT_FOUND",P2="NOT_FOUND",Q2="NOT_FOUND",R2="NOT_FOUND"),"NEEDS_REVIEW","MATCHED")</f>
        <v>MATCHED</v>
      </c>
    </row>
    <row r="12" spans="1:19" x14ac:dyDescent="0.35">
      <c r="A12" t="s">
        <v>118</v>
      </c>
      <c r="B12" t="s">
        <v>22</v>
      </c>
      <c r="C12" t="s">
        <v>39</v>
      </c>
      <c r="D12" t="s">
        <v>57</v>
      </c>
      <c r="E12">
        <v>1132200</v>
      </c>
      <c r="F12" t="s">
        <v>80</v>
      </c>
      <c r="G12" t="s">
        <v>83</v>
      </c>
      <c r="H12" t="s">
        <v>94</v>
      </c>
      <c r="I12" t="s">
        <v>99</v>
      </c>
      <c r="J12" t="s">
        <v>122</v>
      </c>
      <c r="L12" t="s">
        <v>108</v>
      </c>
      <c r="M12" t="str">
        <f>_xlfn.XLOOKUP(H12,Source_Register!$A:$A,Source_Register!$B:$B,"NOT_FOUND")</f>
        <v>Chilika Development Authority</v>
      </c>
      <c r="N12" t="str">
        <f>_xlfn.XLOOKUP(H12,Source_Register!$A:$A,Source_Register!$C:$C,"NOT_FOUND")</f>
        <v>CDA Ecology &amp; Biodiversity / Floral / Faunal pages</v>
      </c>
      <c r="O12" t="str">
        <f>_xlfn.XLOOKUP(H12,Source_Register!$A:$A,Source_Register!$E:$E,"NOT_FOUND")</f>
        <v>https://www.chilika.com/chilika-ecology-and-biodiversity.php</v>
      </c>
      <c r="P12" t="str">
        <f>_xlfn.XLOOKUP(H12,Source_Register!$A:$A,Source_Register!$H:$H,"NOT_FOUND")</f>
        <v>Floral, Faunal, Birds, Dolphins, Seagrass, Fisheries sections</v>
      </c>
      <c r="Q12" t="str">
        <f>_xlfn.XLOOKUP(H12,Source_Register!$A:$A,Source_Register!$L:$L,"NOT_FOUND")</f>
        <v>VERIFIED_OFFICIAL_CONTENT</v>
      </c>
      <c r="R12" t="str">
        <f>_xlfn.XLOOKUP(H12,Source_Register!$A:$A,Source_Register!$K:$K,"NOT_FOUND")</f>
        <v>Various (2011-2026)</v>
      </c>
      <c r="S12" t="str">
        <f>IF(OR(M2="NOT_FOUND",N2="NOT_FOUND",O2="NOT_FOUND",P2="NOT_FOUND",Q2="NOT_FOUND",R2="NOT_FOUND"),"NEEDS_REVIEW","MATCHED")</f>
        <v>MATCHED</v>
      </c>
    </row>
    <row r="13" spans="1:19" x14ac:dyDescent="0.35">
      <c r="A13" t="s">
        <v>118</v>
      </c>
      <c r="B13" t="s">
        <v>21</v>
      </c>
      <c r="C13" t="s">
        <v>40</v>
      </c>
      <c r="D13" t="s">
        <v>58</v>
      </c>
      <c r="E13">
        <v>222</v>
      </c>
      <c r="F13" t="s">
        <v>76</v>
      </c>
      <c r="G13" t="s">
        <v>86</v>
      </c>
      <c r="H13" t="s">
        <v>94</v>
      </c>
      <c r="I13" t="s">
        <v>99</v>
      </c>
      <c r="J13" t="s">
        <v>121</v>
      </c>
      <c r="L13" t="s">
        <v>109</v>
      </c>
      <c r="M13" t="str">
        <f>_xlfn.XLOOKUP(H13,Source_Register!$A:$A,Source_Register!$B:$B,"NOT_FOUND")</f>
        <v>Chilika Development Authority</v>
      </c>
      <c r="N13" t="str">
        <f>_xlfn.XLOOKUP(H13,Source_Register!$A:$A,Source_Register!$C:$C,"NOT_FOUND")</f>
        <v>CDA Ecology &amp; Biodiversity / Floral / Faunal pages</v>
      </c>
      <c r="O13" t="str">
        <f>_xlfn.XLOOKUP(H13,Source_Register!$A:$A,Source_Register!$E:$E,"NOT_FOUND")</f>
        <v>https://www.chilika.com/chilika-ecology-and-biodiversity.php</v>
      </c>
      <c r="P13" t="str">
        <f>_xlfn.XLOOKUP(H13,Source_Register!$A:$A,Source_Register!$H:$H,"NOT_FOUND")</f>
        <v>Floral, Faunal, Birds, Dolphins, Seagrass, Fisheries sections</v>
      </c>
      <c r="Q13" t="str">
        <f>_xlfn.XLOOKUP(H13,Source_Register!$A:$A,Source_Register!$L:$L,"NOT_FOUND")</f>
        <v>VERIFIED_OFFICIAL_CONTENT</v>
      </c>
      <c r="R13" t="str">
        <f>_xlfn.XLOOKUP(H13,Source_Register!$A:$A,Source_Register!$K:$K,"NOT_FOUND")</f>
        <v>Various (2011-2026)</v>
      </c>
      <c r="S13" t="str">
        <f>IF(OR(M2="NOT_FOUND",N2="NOT_FOUND",O2="NOT_FOUND",P2="NOT_FOUND",Q2="NOT_FOUND",R2="NOT_FOUND"),"NEEDS_REVIEW","MATCHED")</f>
        <v>MATCHED</v>
      </c>
    </row>
    <row r="14" spans="1:19" x14ac:dyDescent="0.35">
      <c r="A14" t="s">
        <v>118</v>
      </c>
      <c r="B14" t="s">
        <v>20</v>
      </c>
      <c r="C14" t="s">
        <v>40</v>
      </c>
      <c r="D14" t="s">
        <v>59</v>
      </c>
      <c r="E14">
        <v>201</v>
      </c>
      <c r="F14" t="s">
        <v>76</v>
      </c>
      <c r="G14" t="s">
        <v>86</v>
      </c>
      <c r="H14" t="s">
        <v>94</v>
      </c>
      <c r="I14" t="s">
        <v>99</v>
      </c>
      <c r="J14" t="s">
        <v>121</v>
      </c>
      <c r="L14" t="s">
        <v>110</v>
      </c>
      <c r="M14" t="str">
        <f>_xlfn.XLOOKUP(H14,Source_Register!$A:$A,Source_Register!$B:$B,"NOT_FOUND")</f>
        <v>Chilika Development Authority</v>
      </c>
      <c r="N14" t="str">
        <f>_xlfn.XLOOKUP(H14,Source_Register!$A:$A,Source_Register!$C:$C,"NOT_FOUND")</f>
        <v>CDA Ecology &amp; Biodiversity / Floral / Faunal pages</v>
      </c>
      <c r="O14" t="str">
        <f>_xlfn.XLOOKUP(H14,Source_Register!$A:$A,Source_Register!$E:$E,"NOT_FOUND")</f>
        <v>https://www.chilika.com/chilika-ecology-and-biodiversity.php</v>
      </c>
      <c r="P14" t="str">
        <f>_xlfn.XLOOKUP(H14,Source_Register!$A:$A,Source_Register!$H:$H,"NOT_FOUND")</f>
        <v>Floral, Faunal, Birds, Dolphins, Seagrass, Fisheries sections</v>
      </c>
      <c r="Q14" t="str">
        <f>_xlfn.XLOOKUP(H14,Source_Register!$A:$A,Source_Register!$L:$L,"NOT_FOUND")</f>
        <v>VERIFIED_OFFICIAL_CONTENT</v>
      </c>
      <c r="R14" t="str">
        <f>_xlfn.XLOOKUP(H14,Source_Register!$A:$A,Source_Register!$K:$K,"NOT_FOUND")</f>
        <v>Various (2011-2026)</v>
      </c>
      <c r="S14" t="str">
        <f>IF(OR(M2="NOT_FOUND",N2="NOT_FOUND",O2="NOT_FOUND",P2="NOT_FOUND",Q2="NOT_FOUND",R2="NOT_FOUND"),"NEEDS_REVIEW","MATCHED")</f>
        <v>MATCHED</v>
      </c>
    </row>
    <row r="15" spans="1:19" x14ac:dyDescent="0.35">
      <c r="A15" t="s">
        <v>118</v>
      </c>
      <c r="B15" t="s">
        <v>19</v>
      </c>
      <c r="C15" t="s">
        <v>40</v>
      </c>
      <c r="D15" t="s">
        <v>60</v>
      </c>
      <c r="E15">
        <v>17</v>
      </c>
      <c r="F15" t="s">
        <v>76</v>
      </c>
      <c r="G15" t="s">
        <v>86</v>
      </c>
      <c r="H15" t="s">
        <v>94</v>
      </c>
      <c r="I15" t="s">
        <v>99</v>
      </c>
      <c r="J15" t="s">
        <v>121</v>
      </c>
      <c r="M15" t="str">
        <f>_xlfn.XLOOKUP(H15,Source_Register!$A:$A,Source_Register!$B:$B,"NOT_FOUND")</f>
        <v>Chilika Development Authority</v>
      </c>
      <c r="N15" t="str">
        <f>_xlfn.XLOOKUP(H15,Source_Register!$A:$A,Source_Register!$C:$C,"NOT_FOUND")</f>
        <v>CDA Ecology &amp; Biodiversity / Floral / Faunal pages</v>
      </c>
      <c r="O15" t="str">
        <f>_xlfn.XLOOKUP(H15,Source_Register!$A:$A,Source_Register!$E:$E,"NOT_FOUND")</f>
        <v>https://www.chilika.com/chilika-ecology-and-biodiversity.php</v>
      </c>
      <c r="P15" t="str">
        <f>_xlfn.XLOOKUP(H15,Source_Register!$A:$A,Source_Register!$H:$H,"NOT_FOUND")</f>
        <v>Floral, Faunal, Birds, Dolphins, Seagrass, Fisheries sections</v>
      </c>
      <c r="Q15" t="str">
        <f>_xlfn.XLOOKUP(H15,Source_Register!$A:$A,Source_Register!$L:$L,"NOT_FOUND")</f>
        <v>VERIFIED_OFFICIAL_CONTENT</v>
      </c>
      <c r="R15" t="str">
        <f>_xlfn.XLOOKUP(H15,Source_Register!$A:$A,Source_Register!$K:$K,"NOT_FOUND")</f>
        <v>Various (2011-2026)</v>
      </c>
      <c r="S15" t="str">
        <f>IF(OR(M2="NOT_FOUND",N2="NOT_FOUND",O2="NOT_FOUND",P2="NOT_FOUND",Q2="NOT_FOUND",R2="NOT_FOUND"),"NEEDS_REVIEW","MATCHED")</f>
        <v>MATCHED</v>
      </c>
    </row>
    <row r="16" spans="1:19" x14ac:dyDescent="0.35">
      <c r="A16" t="s">
        <v>118</v>
      </c>
      <c r="B16" t="s">
        <v>18</v>
      </c>
      <c r="C16" t="s">
        <v>40</v>
      </c>
      <c r="D16" t="s">
        <v>61</v>
      </c>
      <c r="E16">
        <v>2</v>
      </c>
      <c r="F16" t="s">
        <v>76</v>
      </c>
      <c r="G16" t="s">
        <v>86</v>
      </c>
      <c r="H16" t="s">
        <v>94</v>
      </c>
      <c r="I16" t="s">
        <v>99</v>
      </c>
      <c r="J16" t="s">
        <v>121</v>
      </c>
      <c r="M16" t="str">
        <f>_xlfn.XLOOKUP(H16,Source_Register!$A:$A,Source_Register!$B:$B,"NOT_FOUND")</f>
        <v>Chilika Development Authority</v>
      </c>
      <c r="N16" t="str">
        <f>_xlfn.XLOOKUP(H16,Source_Register!$A:$A,Source_Register!$C:$C,"NOT_FOUND")</f>
        <v>CDA Ecology &amp; Biodiversity / Floral / Faunal pages</v>
      </c>
      <c r="O16" t="str">
        <f>_xlfn.XLOOKUP(H16,Source_Register!$A:$A,Source_Register!$E:$E,"NOT_FOUND")</f>
        <v>https://www.chilika.com/chilika-ecology-and-biodiversity.php</v>
      </c>
      <c r="P16" t="str">
        <f>_xlfn.XLOOKUP(H16,Source_Register!$A:$A,Source_Register!$H:$H,"NOT_FOUND")</f>
        <v>Floral, Faunal, Birds, Dolphins, Seagrass, Fisheries sections</v>
      </c>
      <c r="Q16" t="str">
        <f>_xlfn.XLOOKUP(H16,Source_Register!$A:$A,Source_Register!$L:$L,"NOT_FOUND")</f>
        <v>VERIFIED_OFFICIAL_CONTENT</v>
      </c>
      <c r="R16" t="str">
        <f>_xlfn.XLOOKUP(H16,Source_Register!$A:$A,Source_Register!$K:$K,"NOT_FOUND")</f>
        <v>Various (2011-2026)</v>
      </c>
      <c r="S16" t="str">
        <f>IF(OR(M2="NOT_FOUND",N2="NOT_FOUND",O2="NOT_FOUND",P2="NOT_FOUND",Q2="NOT_FOUND",R2="NOT_FOUND"),"NEEDS_REVIEW","MATCHED")</f>
        <v>MATCHED</v>
      </c>
    </row>
    <row r="17" spans="1:19" x14ac:dyDescent="0.35">
      <c r="A17" t="s">
        <v>118</v>
      </c>
      <c r="B17" t="s">
        <v>17</v>
      </c>
      <c r="C17" t="s">
        <v>40</v>
      </c>
      <c r="D17" t="s">
        <v>62</v>
      </c>
      <c r="E17">
        <v>2</v>
      </c>
      <c r="F17" t="s">
        <v>76</v>
      </c>
      <c r="G17" t="s">
        <v>86</v>
      </c>
      <c r="H17" t="s">
        <v>94</v>
      </c>
      <c r="I17" t="s">
        <v>99</v>
      </c>
      <c r="J17" t="s">
        <v>121</v>
      </c>
      <c r="M17" t="str">
        <f>_xlfn.XLOOKUP(H17,Source_Register!$A:$A,Source_Register!$B:$B,"NOT_FOUND")</f>
        <v>Chilika Development Authority</v>
      </c>
      <c r="N17" t="str">
        <f>_xlfn.XLOOKUP(H17,Source_Register!$A:$A,Source_Register!$C:$C,"NOT_FOUND")</f>
        <v>CDA Ecology &amp; Biodiversity / Floral / Faunal pages</v>
      </c>
      <c r="O17" t="str">
        <f>_xlfn.XLOOKUP(H17,Source_Register!$A:$A,Source_Register!$E:$E,"NOT_FOUND")</f>
        <v>https://www.chilika.com/chilika-ecology-and-biodiversity.php</v>
      </c>
      <c r="P17" t="str">
        <f>_xlfn.XLOOKUP(H17,Source_Register!$A:$A,Source_Register!$H:$H,"NOT_FOUND")</f>
        <v>Floral, Faunal, Birds, Dolphins, Seagrass, Fisheries sections</v>
      </c>
      <c r="Q17" t="str">
        <f>_xlfn.XLOOKUP(H17,Source_Register!$A:$A,Source_Register!$L:$L,"NOT_FOUND")</f>
        <v>VERIFIED_OFFICIAL_CONTENT</v>
      </c>
      <c r="R17" t="str">
        <f>_xlfn.XLOOKUP(H17,Source_Register!$A:$A,Source_Register!$K:$K,"NOT_FOUND")</f>
        <v>Various (2011-2026)</v>
      </c>
      <c r="S17" t="str">
        <f>IF(OR(M2="NOT_FOUND",N2="NOT_FOUND",O2="NOT_FOUND",P2="NOT_FOUND",Q2="NOT_FOUND",R2="NOT_FOUND"),"NEEDS_REVIEW","MATCHED")</f>
        <v>MATCHED</v>
      </c>
    </row>
    <row r="18" spans="1:19" x14ac:dyDescent="0.35">
      <c r="A18" t="s">
        <v>118</v>
      </c>
      <c r="B18" t="s">
        <v>16</v>
      </c>
      <c r="C18" t="s">
        <v>41</v>
      </c>
      <c r="D18" t="s">
        <v>63</v>
      </c>
      <c r="E18">
        <v>884</v>
      </c>
      <c r="F18" t="s">
        <v>76</v>
      </c>
      <c r="G18" t="s">
        <v>87</v>
      </c>
      <c r="H18" t="s">
        <v>94</v>
      </c>
      <c r="I18" t="s">
        <v>99</v>
      </c>
      <c r="J18" t="s">
        <v>121</v>
      </c>
      <c r="L18" t="s">
        <v>111</v>
      </c>
      <c r="M18" t="str">
        <f>_xlfn.XLOOKUP(H18,Source_Register!$A:$A,Source_Register!$B:$B,"NOT_FOUND")</f>
        <v>Chilika Development Authority</v>
      </c>
      <c r="N18" t="str">
        <f>_xlfn.XLOOKUP(H18,Source_Register!$A:$A,Source_Register!$C:$C,"NOT_FOUND")</f>
        <v>CDA Ecology &amp; Biodiversity / Floral / Faunal pages</v>
      </c>
      <c r="O18" t="str">
        <f>_xlfn.XLOOKUP(H18,Source_Register!$A:$A,Source_Register!$E:$E,"NOT_FOUND")</f>
        <v>https://www.chilika.com/chilika-ecology-and-biodiversity.php</v>
      </c>
      <c r="P18" t="str">
        <f>_xlfn.XLOOKUP(H18,Source_Register!$A:$A,Source_Register!$H:$H,"NOT_FOUND")</f>
        <v>Floral, Faunal, Birds, Dolphins, Seagrass, Fisheries sections</v>
      </c>
      <c r="Q18" t="str">
        <f>_xlfn.XLOOKUP(H18,Source_Register!$A:$A,Source_Register!$L:$L,"NOT_FOUND")</f>
        <v>VERIFIED_OFFICIAL_CONTENT</v>
      </c>
      <c r="R18" t="str">
        <f>_xlfn.XLOOKUP(H18,Source_Register!$A:$A,Source_Register!$K:$K,"NOT_FOUND")</f>
        <v>Various (2011-2026)</v>
      </c>
      <c r="S18" t="str">
        <f>IF(OR(M2="NOT_FOUND",N2="NOT_FOUND",O2="NOT_FOUND",P2="NOT_FOUND",Q2="NOT_FOUND",R2="NOT_FOUND"),"NEEDS_REVIEW","MATCHED")</f>
        <v>MATCHED</v>
      </c>
    </row>
    <row r="19" spans="1:19" x14ac:dyDescent="0.35">
      <c r="A19" t="s">
        <v>118</v>
      </c>
      <c r="B19" t="s">
        <v>15</v>
      </c>
      <c r="C19" t="s">
        <v>42</v>
      </c>
      <c r="D19" t="s">
        <v>64</v>
      </c>
      <c r="E19">
        <v>748</v>
      </c>
      <c r="F19" t="s">
        <v>76</v>
      </c>
      <c r="G19" t="s">
        <v>88</v>
      </c>
      <c r="H19" t="s">
        <v>94</v>
      </c>
      <c r="I19" t="s">
        <v>100</v>
      </c>
      <c r="J19" t="s">
        <v>121</v>
      </c>
      <c r="L19" t="s">
        <v>112</v>
      </c>
      <c r="M19" t="str">
        <f>_xlfn.XLOOKUP(H19,Source_Register!$A:$A,Source_Register!$B:$B,"NOT_FOUND")</f>
        <v>Chilika Development Authority</v>
      </c>
      <c r="N19" t="str">
        <f>_xlfn.XLOOKUP(H19,Source_Register!$A:$A,Source_Register!$C:$C,"NOT_FOUND")</f>
        <v>CDA Ecology &amp; Biodiversity / Floral / Faunal pages</v>
      </c>
      <c r="O19" t="str">
        <f>_xlfn.XLOOKUP(H19,Source_Register!$A:$A,Source_Register!$E:$E,"NOT_FOUND")</f>
        <v>https://www.chilika.com/chilika-ecology-and-biodiversity.php</v>
      </c>
      <c r="P19" t="str">
        <f>_xlfn.XLOOKUP(H19,Source_Register!$A:$A,Source_Register!$H:$H,"NOT_FOUND")</f>
        <v>Floral, Faunal, Birds, Dolphins, Seagrass, Fisheries sections</v>
      </c>
      <c r="Q19" t="str">
        <f>_xlfn.XLOOKUP(H19,Source_Register!$A:$A,Source_Register!$L:$L,"NOT_FOUND")</f>
        <v>VERIFIED_OFFICIAL_CONTENT</v>
      </c>
      <c r="R19" t="str">
        <f>_xlfn.XLOOKUP(H19,Source_Register!$A:$A,Source_Register!$K:$K,"NOT_FOUND")</f>
        <v>Various (2011-2026)</v>
      </c>
      <c r="S19" t="str">
        <f>IF(OR(M2="NOT_FOUND",N2="NOT_FOUND",O2="NOT_FOUND",P2="NOT_FOUND",Q2="NOT_FOUND",R2="NOT_FOUND"),"NEEDS_REVIEW","MATCHED")</f>
        <v>MATCHED</v>
      </c>
    </row>
    <row r="20" spans="1:19" x14ac:dyDescent="0.35">
      <c r="A20" t="s">
        <v>118</v>
      </c>
      <c r="B20" t="s">
        <v>14</v>
      </c>
      <c r="C20" t="s">
        <v>43</v>
      </c>
      <c r="D20" t="s">
        <v>65</v>
      </c>
      <c r="E20">
        <v>6</v>
      </c>
      <c r="F20" t="s">
        <v>76</v>
      </c>
      <c r="G20" t="s">
        <v>89</v>
      </c>
      <c r="H20" t="s">
        <v>94</v>
      </c>
      <c r="I20" t="s">
        <v>99</v>
      </c>
      <c r="J20" t="s">
        <v>123</v>
      </c>
      <c r="L20" t="s">
        <v>113</v>
      </c>
      <c r="M20" t="str">
        <f>_xlfn.XLOOKUP(H20,Source_Register!$A:$A,Source_Register!$B:$B,"NOT_FOUND")</f>
        <v>Chilika Development Authority</v>
      </c>
      <c r="N20" t="str">
        <f>_xlfn.XLOOKUP(H20,Source_Register!$A:$A,Source_Register!$C:$C,"NOT_FOUND")</f>
        <v>CDA Ecology &amp; Biodiversity / Floral / Faunal pages</v>
      </c>
      <c r="O20" t="str">
        <f>_xlfn.XLOOKUP(H20,Source_Register!$A:$A,Source_Register!$E:$E,"NOT_FOUND")</f>
        <v>https://www.chilika.com/chilika-ecology-and-biodiversity.php</v>
      </c>
      <c r="P20" t="str">
        <f>_xlfn.XLOOKUP(H20,Source_Register!$A:$A,Source_Register!$H:$H,"NOT_FOUND")</f>
        <v>Floral, Faunal, Birds, Dolphins, Seagrass, Fisheries sections</v>
      </c>
      <c r="Q20" t="str">
        <f>_xlfn.XLOOKUP(H20,Source_Register!$A:$A,Source_Register!$L:$L,"NOT_FOUND")</f>
        <v>VERIFIED_OFFICIAL_CONTENT</v>
      </c>
      <c r="R20" t="str">
        <f>_xlfn.XLOOKUP(H20,Source_Register!$A:$A,Source_Register!$K:$K,"NOT_FOUND")</f>
        <v>Various (2011-2026)</v>
      </c>
      <c r="S20" t="str">
        <f>IF(OR(M2="NOT_FOUND",N2="NOT_FOUND",O2="NOT_FOUND",P2="NOT_FOUND",Q2="NOT_FOUND",R2="NOT_FOUND"),"NEEDS_REVIEW","MATCHED")</f>
        <v>MATCHED</v>
      </c>
    </row>
    <row r="21" spans="1:19" x14ac:dyDescent="0.35">
      <c r="A21" t="s">
        <v>118</v>
      </c>
      <c r="B21" t="s">
        <v>13</v>
      </c>
      <c r="C21" t="s">
        <v>44</v>
      </c>
      <c r="D21" t="s">
        <v>66</v>
      </c>
      <c r="E21">
        <v>326</v>
      </c>
      <c r="F21" t="s">
        <v>76</v>
      </c>
      <c r="G21" t="s">
        <v>83</v>
      </c>
      <c r="H21" t="s">
        <v>95</v>
      </c>
      <c r="I21" t="s">
        <v>101</v>
      </c>
      <c r="J21" t="s">
        <v>121</v>
      </c>
      <c r="L21" t="s">
        <v>114</v>
      </c>
      <c r="M21" t="str">
        <f>_xlfn.XLOOKUP(H21,Source_Register!$A:$A,Source_Register!$B:$B,"NOT_FOUND")</f>
        <v>Chilika Development Authority</v>
      </c>
      <c r="N21" t="str">
        <f>_xlfn.XLOOKUP(H21,Source_Register!$A:$A,Source_Register!$C:$C,"NOT_FOUND")</f>
        <v>CDA Annual Report 2011-13</v>
      </c>
      <c r="O21" t="str">
        <f>_xlfn.XLOOKUP(H21,Source_Register!$A:$A,Source_Register!$E:$E,"NOT_FOUND")</f>
        <v>https://www.chilika.com/documents/publication_1395326938.pdf</v>
      </c>
      <c r="P21" t="str">
        <f>_xlfn.XLOOKUP(H21,Source_Register!$A:$A,Source_Register!$H:$H,"NOT_FOUND")</f>
        <v>Biodiversity-related sections if any</v>
      </c>
      <c r="Q21" t="str">
        <f>_xlfn.XLOOKUP(H21,Source_Register!$A:$A,Source_Register!$L:$L,"NOT_FOUND")</f>
        <v>SEARCHED_LIMITED_BIODIVERSITY</v>
      </c>
      <c r="R21" t="str">
        <f>_xlfn.XLOOKUP(H21,Source_Register!$A:$A,Source_Register!$K:$K,"NOT_FOUND")</f>
        <v>2011-13</v>
      </c>
      <c r="S21" t="str">
        <f>IF(OR(M2="NOT_FOUND",N2="NOT_FOUND",O2="NOT_FOUND",P2="NOT_FOUND",Q2="NOT_FOUND",R2="NOT_FOUND"),"NEEDS_REVIEW","MATCHED")</f>
        <v>MATCHED</v>
      </c>
    </row>
    <row r="22" spans="1:19" x14ac:dyDescent="0.35">
      <c r="A22" t="s">
        <v>118</v>
      </c>
      <c r="B22" t="s">
        <v>12</v>
      </c>
      <c r="C22" t="s">
        <v>45</v>
      </c>
      <c r="D22" t="s">
        <v>67</v>
      </c>
      <c r="E22">
        <v>15.52</v>
      </c>
      <c r="F22" t="s">
        <v>81</v>
      </c>
      <c r="G22" t="s">
        <v>90</v>
      </c>
      <c r="H22" t="s">
        <v>94</v>
      </c>
      <c r="I22" t="s">
        <v>99</v>
      </c>
      <c r="J22" t="s">
        <v>122</v>
      </c>
      <c r="L22" t="s">
        <v>115</v>
      </c>
      <c r="M22" t="str">
        <f>_xlfn.XLOOKUP(H22,Source_Register!$A:$A,Source_Register!$B:$B,"NOT_FOUND")</f>
        <v>Chilika Development Authority</v>
      </c>
      <c r="N22" t="str">
        <f>_xlfn.XLOOKUP(H22,Source_Register!$A:$A,Source_Register!$C:$C,"NOT_FOUND")</f>
        <v>CDA Ecology &amp; Biodiversity / Floral / Faunal pages</v>
      </c>
      <c r="O22" t="str">
        <f>_xlfn.XLOOKUP(H22,Source_Register!$A:$A,Source_Register!$E:$E,"NOT_FOUND")</f>
        <v>https://www.chilika.com/chilika-ecology-and-biodiversity.php</v>
      </c>
      <c r="P22" t="str">
        <f>_xlfn.XLOOKUP(H22,Source_Register!$A:$A,Source_Register!$H:$H,"NOT_FOUND")</f>
        <v>Floral, Faunal, Birds, Dolphins, Seagrass, Fisheries sections</v>
      </c>
      <c r="Q22" t="str">
        <f>_xlfn.XLOOKUP(H22,Source_Register!$A:$A,Source_Register!$L:$L,"NOT_FOUND")</f>
        <v>VERIFIED_OFFICIAL_CONTENT</v>
      </c>
      <c r="R22" t="str">
        <f>_xlfn.XLOOKUP(H22,Source_Register!$A:$A,Source_Register!$K:$K,"NOT_FOUND")</f>
        <v>Various (2011-2026)</v>
      </c>
      <c r="S22" t="str">
        <f>IF(OR(M2="NOT_FOUND",N2="NOT_FOUND",O2="NOT_FOUND",P2="NOT_FOUND",Q2="NOT_FOUND",R2="NOT_FOUND"),"NEEDS_REVIEW","MATCHED")</f>
        <v>MATCHED</v>
      </c>
    </row>
    <row r="23" spans="1:19" x14ac:dyDescent="0.35">
      <c r="A23" t="s">
        <v>118</v>
      </c>
      <c r="B23" t="s">
        <v>11</v>
      </c>
      <c r="C23" t="s">
        <v>46</v>
      </c>
      <c r="D23" t="s">
        <v>68</v>
      </c>
      <c r="E23">
        <v>317</v>
      </c>
      <c r="F23" t="s">
        <v>76</v>
      </c>
      <c r="G23" t="s">
        <v>84</v>
      </c>
      <c r="H23" t="s">
        <v>94</v>
      </c>
      <c r="I23" t="s">
        <v>98</v>
      </c>
      <c r="J23" t="s">
        <v>121</v>
      </c>
      <c r="L23" t="s">
        <v>116</v>
      </c>
      <c r="M23" t="str">
        <f>_xlfn.XLOOKUP(H23,Source_Register!$A:$A,Source_Register!$B:$B,"NOT_FOUND")</f>
        <v>Chilika Development Authority</v>
      </c>
      <c r="N23" t="str">
        <f>_xlfn.XLOOKUP(H23,Source_Register!$A:$A,Source_Register!$C:$C,"NOT_FOUND")</f>
        <v>CDA Ecology &amp; Biodiversity / Floral / Faunal pages</v>
      </c>
      <c r="O23" t="str">
        <f>_xlfn.XLOOKUP(H23,Source_Register!$A:$A,Source_Register!$E:$E,"NOT_FOUND")</f>
        <v>https://www.chilika.com/chilika-ecology-and-biodiversity.php</v>
      </c>
      <c r="P23" t="str">
        <f>_xlfn.XLOOKUP(H23,Source_Register!$A:$A,Source_Register!$H:$H,"NOT_FOUND")</f>
        <v>Floral, Faunal, Birds, Dolphins, Seagrass, Fisheries sections</v>
      </c>
      <c r="Q23" t="str">
        <f>_xlfn.XLOOKUP(H23,Source_Register!$A:$A,Source_Register!$L:$L,"NOT_FOUND")</f>
        <v>VERIFIED_OFFICIAL_CONTENT</v>
      </c>
      <c r="R23" t="str">
        <f>_xlfn.XLOOKUP(H23,Source_Register!$A:$A,Source_Register!$K:$K,"NOT_FOUND")</f>
        <v>Various (2011-2026)</v>
      </c>
      <c r="S23" t="str">
        <f>IF(OR(M2="NOT_FOUND",N2="NOT_FOUND",O2="NOT_FOUND",P2="NOT_FOUND",Q2="NOT_FOUND",R2="NOT_FOUND"),"NEEDS_REVIEW","MATCHED")</f>
        <v>MATCHED</v>
      </c>
    </row>
    <row r="24" spans="1:19" x14ac:dyDescent="0.35">
      <c r="A24" t="s">
        <v>118</v>
      </c>
      <c r="B24" t="s">
        <v>10</v>
      </c>
      <c r="C24" t="s">
        <v>47</v>
      </c>
      <c r="D24" t="s">
        <v>69</v>
      </c>
      <c r="E24">
        <v>383</v>
      </c>
      <c r="F24" t="s">
        <v>76</v>
      </c>
      <c r="G24" t="s">
        <v>84</v>
      </c>
      <c r="H24" t="s">
        <v>94</v>
      </c>
      <c r="I24" t="s">
        <v>98</v>
      </c>
      <c r="J24" t="s">
        <v>124</v>
      </c>
      <c r="L24" t="s">
        <v>117</v>
      </c>
      <c r="M24" t="str">
        <f>_xlfn.XLOOKUP(H24,Source_Register!$A:$A,Source_Register!$B:$B,"NOT_FOUND")</f>
        <v>Chilika Development Authority</v>
      </c>
      <c r="N24" t="str">
        <f>_xlfn.XLOOKUP(H24,Source_Register!$A:$A,Source_Register!$C:$C,"NOT_FOUND")</f>
        <v>CDA Ecology &amp; Biodiversity / Floral / Faunal pages</v>
      </c>
      <c r="O24" t="str">
        <f>_xlfn.XLOOKUP(H24,Source_Register!$A:$A,Source_Register!$E:$E,"NOT_FOUND")</f>
        <v>https://www.chilika.com/chilika-ecology-and-biodiversity.php</v>
      </c>
      <c r="P24" t="str">
        <f>_xlfn.XLOOKUP(H24,Source_Register!$A:$A,Source_Register!$H:$H,"NOT_FOUND")</f>
        <v>Floral, Faunal, Birds, Dolphins, Seagrass, Fisheries sections</v>
      </c>
      <c r="Q24" t="str">
        <f>_xlfn.XLOOKUP(H24,Source_Register!$A:$A,Source_Register!$L:$L,"NOT_FOUND")</f>
        <v>VERIFIED_OFFICIAL_CONTENT</v>
      </c>
      <c r="R24" t="str">
        <f>_xlfn.XLOOKUP(H24,Source_Register!$A:$A,Source_Register!$K:$K,"NOT_FOUND")</f>
        <v>Various (2011-2026)</v>
      </c>
      <c r="S24" t="str">
        <f>IF(OR(M2="NOT_FOUND",N2="NOT_FOUND",O2="NOT_FOUND",P2="NOT_FOUND",Q2="NOT_FOUND",R2="NOT_FOUND"),"NEEDS_REVIEW","MATCHED")</f>
        <v>MATCHED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1D75-F2E8-4865-BD88-11598D538BF7}">
  <dimension ref="A1:M11"/>
  <sheetViews>
    <sheetView zoomScale="145" zoomScaleNormal="145" workbookViewId="0"/>
  </sheetViews>
  <sheetFormatPr defaultRowHeight="14.5" x14ac:dyDescent="0.35"/>
  <sheetData>
    <row r="1" spans="1:13" x14ac:dyDescent="0.35">
      <c r="A1" t="s">
        <v>5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82</v>
      </c>
      <c r="K1" t="s">
        <v>140</v>
      </c>
      <c r="L1" t="s">
        <v>141</v>
      </c>
      <c r="M1" t="s">
        <v>9</v>
      </c>
    </row>
    <row r="2" spans="1:13" x14ac:dyDescent="0.35">
      <c r="A2" t="s">
        <v>91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83</v>
      </c>
      <c r="K2" t="s">
        <v>35</v>
      </c>
      <c r="L2" t="s">
        <v>150</v>
      </c>
    </row>
    <row r="3" spans="1:13" x14ac:dyDescent="0.35">
      <c r="A3" t="s">
        <v>92</v>
      </c>
      <c r="B3" t="s">
        <v>142</v>
      </c>
      <c r="C3" t="s">
        <v>151</v>
      </c>
      <c r="D3" t="s">
        <v>152</v>
      </c>
      <c r="E3" t="s">
        <v>145</v>
      </c>
      <c r="F3" t="s">
        <v>153</v>
      </c>
      <c r="G3" t="s">
        <v>147</v>
      </c>
      <c r="H3" t="s">
        <v>154</v>
      </c>
      <c r="I3" t="s">
        <v>155</v>
      </c>
      <c r="J3" t="s">
        <v>83</v>
      </c>
      <c r="K3" t="s">
        <v>36</v>
      </c>
      <c r="L3" t="s">
        <v>150</v>
      </c>
    </row>
    <row r="4" spans="1:13" x14ac:dyDescent="0.35">
      <c r="A4" t="s">
        <v>93</v>
      </c>
      <c r="B4" t="s">
        <v>156</v>
      </c>
      <c r="C4" t="s">
        <v>157</v>
      </c>
      <c r="D4" t="s">
        <v>158</v>
      </c>
      <c r="E4" t="s">
        <v>159</v>
      </c>
      <c r="F4" t="s">
        <v>160</v>
      </c>
      <c r="G4" t="s">
        <v>147</v>
      </c>
      <c r="H4" t="s">
        <v>161</v>
      </c>
      <c r="I4" t="s">
        <v>162</v>
      </c>
      <c r="J4" t="s">
        <v>84</v>
      </c>
      <c r="K4" t="s">
        <v>37</v>
      </c>
      <c r="L4" t="s">
        <v>150</v>
      </c>
      <c r="M4" t="s">
        <v>163</v>
      </c>
    </row>
    <row r="5" spans="1:13" x14ac:dyDescent="0.35">
      <c r="A5" t="s">
        <v>95</v>
      </c>
      <c r="B5" t="s">
        <v>142</v>
      </c>
      <c r="C5" t="s">
        <v>164</v>
      </c>
      <c r="D5" t="s">
        <v>165</v>
      </c>
      <c r="E5" t="s">
        <v>166</v>
      </c>
      <c r="F5" t="s">
        <v>167</v>
      </c>
      <c r="G5" t="s">
        <v>147</v>
      </c>
      <c r="H5" t="s">
        <v>168</v>
      </c>
      <c r="I5" t="s">
        <v>169</v>
      </c>
      <c r="J5" t="s">
        <v>88</v>
      </c>
      <c r="K5" t="s">
        <v>170</v>
      </c>
      <c r="L5" t="s">
        <v>171</v>
      </c>
    </row>
    <row r="6" spans="1:13" x14ac:dyDescent="0.35">
      <c r="A6" t="s">
        <v>172</v>
      </c>
      <c r="B6" t="s">
        <v>142</v>
      </c>
      <c r="C6" t="s">
        <v>173</v>
      </c>
      <c r="D6" t="s">
        <v>174</v>
      </c>
      <c r="E6" t="s">
        <v>175</v>
      </c>
      <c r="F6" t="s">
        <v>176</v>
      </c>
      <c r="G6" t="s">
        <v>147</v>
      </c>
      <c r="H6" t="s">
        <v>176</v>
      </c>
      <c r="I6" t="s">
        <v>177</v>
      </c>
      <c r="J6" t="s">
        <v>88</v>
      </c>
      <c r="K6" t="s">
        <v>174</v>
      </c>
      <c r="L6" t="s">
        <v>178</v>
      </c>
      <c r="M6" t="s">
        <v>179</v>
      </c>
    </row>
    <row r="7" spans="1:13" x14ac:dyDescent="0.35">
      <c r="A7" t="s">
        <v>180</v>
      </c>
      <c r="B7" t="s">
        <v>181</v>
      </c>
      <c r="C7" t="s">
        <v>182</v>
      </c>
      <c r="D7" t="s">
        <v>176</v>
      </c>
      <c r="E7" t="s">
        <v>183</v>
      </c>
      <c r="F7" t="s">
        <v>176</v>
      </c>
      <c r="G7" t="s">
        <v>147</v>
      </c>
      <c r="H7" t="s">
        <v>176</v>
      </c>
      <c r="I7" t="s">
        <v>184</v>
      </c>
      <c r="J7" t="s">
        <v>88</v>
      </c>
      <c r="K7" t="s">
        <v>176</v>
      </c>
      <c r="L7" t="s">
        <v>185</v>
      </c>
      <c r="M7" t="s">
        <v>186</v>
      </c>
    </row>
    <row r="8" spans="1:13" x14ac:dyDescent="0.35">
      <c r="A8" t="s">
        <v>94</v>
      </c>
      <c r="B8" t="s">
        <v>142</v>
      </c>
      <c r="C8" t="s">
        <v>187</v>
      </c>
      <c r="D8" t="s">
        <v>188</v>
      </c>
      <c r="E8" t="s">
        <v>189</v>
      </c>
      <c r="F8" t="s">
        <v>176</v>
      </c>
      <c r="G8" t="s">
        <v>147</v>
      </c>
      <c r="H8" t="s">
        <v>190</v>
      </c>
      <c r="I8" t="s">
        <v>191</v>
      </c>
      <c r="J8" t="s">
        <v>192</v>
      </c>
      <c r="K8" t="s">
        <v>193</v>
      </c>
      <c r="L8" t="s">
        <v>194</v>
      </c>
      <c r="M8" t="s">
        <v>195</v>
      </c>
    </row>
    <row r="9" spans="1:13" x14ac:dyDescent="0.35">
      <c r="A9" t="s">
        <v>196</v>
      </c>
      <c r="B9" t="s">
        <v>142</v>
      </c>
      <c r="C9" t="s">
        <v>197</v>
      </c>
      <c r="D9" t="s">
        <v>176</v>
      </c>
      <c r="E9" t="s">
        <v>198</v>
      </c>
      <c r="F9" t="s">
        <v>176</v>
      </c>
      <c r="G9" t="s">
        <v>147</v>
      </c>
      <c r="H9" t="s">
        <v>199</v>
      </c>
      <c r="I9" t="s">
        <v>200</v>
      </c>
      <c r="J9" t="s">
        <v>88</v>
      </c>
      <c r="K9" t="s">
        <v>165</v>
      </c>
      <c r="L9" t="s">
        <v>101</v>
      </c>
    </row>
    <row r="10" spans="1:13" x14ac:dyDescent="0.35">
      <c r="A10" t="s">
        <v>201</v>
      </c>
      <c r="B10" t="s">
        <v>142</v>
      </c>
      <c r="C10" t="s">
        <v>202</v>
      </c>
      <c r="D10" t="s">
        <v>174</v>
      </c>
      <c r="E10" t="s">
        <v>203</v>
      </c>
      <c r="F10" t="s">
        <v>176</v>
      </c>
      <c r="G10" t="s">
        <v>147</v>
      </c>
      <c r="H10" t="s">
        <v>204</v>
      </c>
      <c r="I10" t="s">
        <v>205</v>
      </c>
      <c r="J10" t="s">
        <v>88</v>
      </c>
      <c r="K10" t="s">
        <v>174</v>
      </c>
      <c r="L10" t="s">
        <v>206</v>
      </c>
      <c r="M10" t="s">
        <v>207</v>
      </c>
    </row>
    <row r="11" spans="1:13" x14ac:dyDescent="0.35">
      <c r="A11" t="s">
        <v>208</v>
      </c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147</v>
      </c>
      <c r="H11" t="s">
        <v>214</v>
      </c>
      <c r="I11" t="s">
        <v>215</v>
      </c>
      <c r="J11" t="s">
        <v>216</v>
      </c>
      <c r="K11" t="s">
        <v>211</v>
      </c>
      <c r="L11" t="s">
        <v>99</v>
      </c>
      <c r="M11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</vt:lpstr>
      <vt:lpstr>Source_Register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Alamasety DineshKumar</dc:creator>
  <cp:lastModifiedBy>Alamasety DineshKumar</cp:lastModifiedBy>
  <dcterms:created xsi:type="dcterms:W3CDTF">2015-06-05T18:17:20Z</dcterms:created>
  <dcterms:modified xsi:type="dcterms:W3CDTF">2026-08-19T11:15:37Z</dcterms:modified>
</cp:coreProperties>
</file>